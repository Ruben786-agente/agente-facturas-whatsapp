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Fijos" sheetId="2" state="visible" r:id="rId4"/>
    <sheet name="Escenarios" sheetId="3" state="visible" r:id="rId5"/>
    <sheet name="Equilibrio" sheetId="4" state="visible" r:id="rId6"/>
    <sheet name="Notas" sheetId="5" state="visible" r:id="rId7"/>
    <sheet name="Optimizac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<sst xmlns="http://schemas.openxmlformats.org/spreadsheetml/2006/main" count="163" uniqueCount="144">
  <si>
    <t xml:space="preserve">Agente Facturas · Supuestos del modelo de costes</t>
  </si>
  <si>
    <t xml:space="preserve">Azul = dato que puede cambiar. Amarillo = el supuesto más importante: sustitúyalo por su dato real en cuanto lo tenga.</t>
  </si>
  <si>
    <t xml:space="preserve">Supuesto</t>
  </si>
  <si>
    <t xml:space="preserve">Valor</t>
  </si>
  <si>
    <t xml:space="preserve">Unidad</t>
  </si>
  <si>
    <t xml:space="preserve">Origen / nota</t>
  </si>
  <si>
    <t xml:space="preserve">Coste de IA por factura (una lectura)</t>
  </si>
  <si>
    <t xml:space="preserve">USD</t>
  </si>
  <si>
    <t xml:space="preserve">Estimación de Ruben (≈10 céntimos). Medirla con /admin/uso-ia con un lote limpio.</t>
  </si>
  <si>
    <t xml:space="preserve">Factor de relecturas</t>
  </si>
  <si>
    <t xml:space="preserve">x</t>
  </si>
  <si>
    <t xml:space="preserve">Supuesto: un 10 % de facturas se relee por confianza baja. Ajustar con el contador.</t>
  </si>
  <si>
    <t xml:space="preserve">Cambio USD → EUR</t>
  </si>
  <si>
    <t xml:space="preserve">€ por $</t>
  </si>
  <si>
    <t xml:space="preserve">Supuesto: ajustar al cambio del día.</t>
  </si>
  <si>
    <t xml:space="preserve">IVA</t>
  </si>
  <si>
    <t xml:space="preserve">%</t>
  </si>
  <si>
    <t xml:space="preserve">IVA general en España.</t>
  </si>
  <si>
    <t xml:space="preserve">Stripe: porcentaje por cobro</t>
  </si>
  <si>
    <t xml:space="preserve">Tarjetas del Espacio Económico Europeo (estándar). Tarjetas premium: 1,9 %. Fuente: Quipu (blog).</t>
  </si>
  <si>
    <t xml:space="preserve">Stripe Billing: porcentaje por suscripción</t>
  </si>
  <si>
    <t xml:space="preserve">0,5 % de los pagos recurrentes. Fuente: Quipu (blog).</t>
  </si>
  <si>
    <t xml:space="preserve">Stripe: importe fijo por cobro</t>
  </si>
  <si>
    <t xml:space="preserve">€</t>
  </si>
  <si>
    <t xml:space="preserve">0,25 € por cobro. Fuente: Quipu (blog).</t>
  </si>
  <si>
    <t xml:space="preserve">Mensajería WhatsApp por factura</t>
  </si>
  <si>
    <t xml:space="preserve">Pendiente: WhatsApp aún no está activo. Rellenar con la tarifa vigente de Meta.</t>
  </si>
  <si>
    <t xml:space="preserve">Coste hora de un administrativo</t>
  </si>
  <si>
    <t xml:space="preserve">€/h</t>
  </si>
  <si>
    <t xml:space="preserve">Supuesto (coste empresa aproximado). Sirve solo para el valor que recibe el cliente.</t>
  </si>
  <si>
    <t xml:space="preserve">Minutos por factura a mano</t>
  </si>
  <si>
    <t xml:space="preserve">min</t>
  </si>
  <si>
    <t xml:space="preserve">Estimación de Ruben. Confirmar con la gestoría de prueba.</t>
  </si>
  <si>
    <t xml:space="preserve">Facturas al mes del cliente típico</t>
  </si>
  <si>
    <t xml:space="preserve">facturas</t>
  </si>
  <si>
    <t xml:space="preserve">Supuesto. Sustituir por el dato de la gestoría de prueba.</t>
  </si>
  <si>
    <t xml:space="preserve">Objetivo de ingresos netos mensuales</t>
  </si>
  <si>
    <t xml:space="preserve">Antes de impuestos y cuota de autónomos. Cámbielo a su objetivo.</t>
  </si>
  <si>
    <t xml:space="preserve">Tramos de precio propuestos (sin IVA, al mes)</t>
  </si>
  <si>
    <t xml:space="preserve">Tramo</t>
  </si>
  <si>
    <t xml:space="preserve">Hasta (facturas/mes)</t>
  </si>
  <si>
    <t xml:space="preserve">Precio (€/mes)</t>
  </si>
  <si>
    <t xml:space="preserve">Nota</t>
  </si>
  <si>
    <t xml:space="preserve">Tramo 1</t>
  </si>
  <si>
    <t xml:space="preserve">Propuesta ajustada al coste de IA de 0,10 $ por factura (margen ≈50 % o más).</t>
  </si>
  <si>
    <t xml:space="preserve">Tramo 2</t>
  </si>
  <si>
    <t xml:space="preserve">Tramo 3</t>
  </si>
  <si>
    <t xml:space="preserve">Por encima del tramo 3</t>
  </si>
  <si>
    <t xml:space="preserve">cada factura extra</t>
  </si>
  <si>
    <t xml:space="preserve">€ por factura adicional sobre el precio del tramo 3.</t>
  </si>
  <si>
    <t xml:space="preserve">Precio de lanzamiento</t>
  </si>
  <si>
    <t xml:space="preserve">Límite de facturas y precio de la promoción.</t>
  </si>
  <si>
    <t xml:space="preserve">Precio fijo de comparación 1</t>
  </si>
  <si>
    <t xml:space="preserve">Un plan único, sin tramos.</t>
  </si>
  <si>
    <t xml:space="preserve">Precio fijo de comparación 2</t>
  </si>
  <si>
    <t xml:space="preserve">Costes fijos mensuales</t>
  </si>
  <si>
    <t xml:space="preserve">Producción = lo que costará con clientes de pago. Piloto = lo que cuesta hoy con la gestoría de prueba.</t>
  </si>
  <si>
    <t xml:space="preserve">Concepto</t>
  </si>
  <si>
    <t xml:space="preserve">Producción (USD/mes)</t>
  </si>
  <si>
    <t xml:space="preserve">Producción (€/mes)</t>
  </si>
  <si>
    <t xml:space="preserve">Piloto (€/mes)</t>
  </si>
  <si>
    <t xml:space="preserve">Qué incluye / fuente</t>
  </si>
  <si>
    <t xml:space="preserve">Servidor (Render)</t>
  </si>
  <si>
    <t xml:space="preserve">Plan de pago de 7 $ (menos de 1 CPU, 512 MB): no se duerme. El plan gratuito se duerme y por eso hoy usa cron. Fuente: render.com/pricing.</t>
  </si>
  <si>
    <t xml:space="preserve">Base de datos (Supabase Pro)</t>
  </si>
  <si>
    <t xml:space="preserve">Desde 25 $/mes: copias diarias 7 días, nunca se pausa. El plan gratuito no tiene copias automáticas y pausa tras 1 semana sin actividad. Fuente: supabase.com/docs/pricing.</t>
  </si>
  <si>
    <t xml:space="preserve">Correo de avisos (Resend)</t>
  </si>
  <si>
    <t xml:space="preserve">Gratis hasta 3.000 correos/mes y 100/día. Pro: 20 $/mes. Fuente: automationatlas.io (confirmar en resend.com).</t>
  </si>
  <si>
    <t xml:space="preserve">Dominio agentefacturas.es (€/año ÷ 12)</t>
  </si>
  <si>
    <t xml:space="preserve">Supuesto: ajustar con el precio real pagado en DonDominio (celda amarilla H7).</t>
  </si>
  <si>
    <t xml:space="preserve">€/año:</t>
  </si>
  <si>
    <t xml:space="preserve">Otros fijos (correo profesional, asesoría, seguros...)</t>
  </si>
  <si>
    <t xml:space="preserve">A rellenar. No incluye cuota de autónomos ni impuestos.</t>
  </si>
  <si>
    <t xml:space="preserve">TOTAL FIJOS</t>
  </si>
  <si>
    <t xml:space="preserve">Margen por cliente según su volumen de facturas</t>
  </si>
  <si>
    <t xml:space="preserve">Costes variables = IA + WhatsApp + comisión de Stripe. El margen es antes de los costes fijos, impuestos y de su tiempo.</t>
  </si>
  <si>
    <t xml:space="preserve">Facturas/mes</t>
  </si>
  <si>
    <t xml:space="preserve">Coste IA (€)</t>
  </si>
  <si>
    <t xml:space="preserve">WhatsApp (€)</t>
  </si>
  <si>
    <t xml:space="preserve">Precio del tramo (€, sin IVA)</t>
  </si>
  <si>
    <t xml:space="preserve">Stripe (€)</t>
  </si>
  <si>
    <t xml:space="preserve">Margen del tramo (€)</t>
  </si>
  <si>
    <t xml:space="preserve">Margen del tramo (%)</t>
  </si>
  <si>
    <t xml:space="preserve">Margen con plan fijo 1 (€)</t>
  </si>
  <si>
    <t xml:space="preserve">Margen con plan fijo 2 (€)</t>
  </si>
  <si>
    <t xml:space="preserve">Ahorro del cliente (€/mes)</t>
  </si>
  <si>
    <t xml:space="preserve">Precio como % del ahorro</t>
  </si>
  <si>
    <t xml:space="preserve">Lectura: un margen negativo en 'plan fijo' significa que ese cliente le cuesta más de lo que paga.</t>
  </si>
  <si>
    <t xml:space="preserve">Con el precio de lanzamiento</t>
  </si>
  <si>
    <t xml:space="preserve">Precio lanzamiento (€)</t>
  </si>
  <si>
    <t xml:space="preserve">Margen (€)</t>
  </si>
  <si>
    <t xml:space="preserve">Margen (%)</t>
  </si>
  <si>
    <t xml:space="preserve">Con el límite de la promoción (hoja Supuestos, B24), el cliente nunca cuesta más de lo que paga si el margen de su fila es positivo.</t>
  </si>
  <si>
    <t xml:space="preserve">Cuántos clientes hacen falta</t>
  </si>
  <si>
    <t xml:space="preserve">Se cambia en Supuestos.</t>
  </si>
  <si>
    <t xml:space="preserve">Precio del tramo que le corresponde (€, sin IVA)</t>
  </si>
  <si>
    <t xml:space="preserve">Costes variables por cliente (€)</t>
  </si>
  <si>
    <t xml:space="preserve">IA + WhatsApp + Stripe.</t>
  </si>
  <si>
    <t xml:space="preserve">Margen por cliente a precio habitual (€/mes)</t>
  </si>
  <si>
    <t xml:space="preserve">Margen por cliente a precio de lanzamiento (€/mes)</t>
  </si>
  <si>
    <t xml:space="preserve">Válido si el cliente cabe en el límite de la promoción.</t>
  </si>
  <si>
    <t xml:space="preserve">Costes fijos de producción (€/mes)</t>
  </si>
  <si>
    <t xml:space="preserve">De la hoja Fijos.</t>
  </si>
  <si>
    <t xml:space="preserve">Clientes para cubrir los costes fijos (precio habitual)</t>
  </si>
  <si>
    <t xml:space="preserve">Clientes para cubrir los costes fijos (lanzamiento)</t>
  </si>
  <si>
    <t xml:space="preserve">Objetivo de ingresos netos (€/mes)</t>
  </si>
  <si>
    <t xml:space="preserve">Clientes para el objetivo (precio habitual)</t>
  </si>
  <si>
    <t xml:space="preserve">Antes de impuestos y cuota de autónomos.</t>
  </si>
  <si>
    <t xml:space="preserve">Clientes para el objetivo (lanzamiento)</t>
  </si>
  <si>
    <t xml:space="preserve">Coste fijo de arrancar con la gestoría de prueba (€/mes)</t>
  </si>
  <si>
    <t xml:space="preserve">Lo que cuesta hoy el piloto.</t>
  </si>
  <si>
    <t xml:space="preserve">Notas, fuentes y qué no incluye</t>
  </si>
  <si>
    <t xml:space="preserve">Fuentes de precios (consultadas en octubre de 2026; confirmar antes de decidir):</t>
  </si>
  <si>
    <t xml:space="preserve">· IA: Claude Sonnet 5.5 a 2 $ por millón de tokens de entrada y 10 $ de salida (apidog.com y anotherwrapper.com; confirmar en la consola de Anthropic).</t>
  </si>
  <si>
    <t xml:space="preserve">· Servidor: render.com/pricing (plan de 7 $/mes; el gratuito se duerme).</t>
  </si>
  <si>
    <t xml:space="preserve">· Base de datos: supabase.com/docs/pricing (Pro desde 25 $/mes, copias diarias 7 días).</t>
  </si>
  <si>
    <t xml:space="preserve">· Correo: Resend, gratis hasta 3.000 correos/mes (automationatlas.io).</t>
  </si>
  <si>
    <t xml:space="preserve">· Stripe: 1,5 % + 0,25 € por cobro con tarjeta europea y 0,5 % extra por suscripciones (getquipu.com/blog/comisiones-stripe).</t>
  </si>
  <si>
    <t xml:space="preserve">Lo que NO incluye este modelo:</t>
  </si>
  <si>
    <t xml:space="preserve">· Impuestos, IVA ingresado y cuota de autónomos o de sociedad.</t>
  </si>
  <si>
    <t xml:space="preserve">· Su tiempo de soporte y desarrollo.</t>
  </si>
  <si>
    <t xml:space="preserve">· Revisión legal de los textos (puntual) y verificaciones de Google y Microsoft.</t>
  </si>
  <si>
    <t xml:space="preserve">· Meta/WhatsApp: está a 0 hasta que se active el servicio y se conozca la tarifa.</t>
  </si>
  <si>
    <t xml:space="preserve">· Posibles ahorros: usar un modelo de IA más barato para facturas fáciles o procesar en lote (la fuente consultada indica la mitad de precio).</t>
  </si>
  <si>
    <t xml:space="preserve">Los supuestos en amarillo (coste de IA por factura, minutos a mano, facturas del cliente típico) son los que más cambian el resultado.</t>
  </si>
  <si>
    <t xml:space="preserve">Ahorro con el modelo barato de IA (primera lectura barata, el principal solo si hay dudas)</t>
  </si>
  <si>
    <t xml:space="preserve">Los dos supuestos en amarillo se sustituyen por datos reales con /admin/uso-ia (comparación de modelos).</t>
  </si>
  <si>
    <t xml:space="preserve">Precio del modelo barato respecto al principal</t>
  </si>
  <si>
    <t xml:space="preserve">Haiku 5.5: 0,10 $ / 0,50 $ por millón de tokens frente a 2 $ / 10 $ de Sonnet 5.5 (≈5 %). Fuentes: apidog.com (confirmar en la consola de Anthropic). Supone que cuesta igual leer un PDF con uno que con otro.</t>
  </si>
  <si>
    <t xml:space="preserve">Lecturas que acaban pasando al modelo principal</t>
  </si>
  <si>
    <t xml:space="preserve">Supuesto: el 25 % sale dudoso o no cuadra y se repite con Sonnet. Medirlo con el contador.</t>
  </si>
  <si>
    <t xml:space="preserve">Descuento por proceso en lote (Batch API)</t>
  </si>
  <si>
    <t xml:space="preserve">0 % = no se usa. Según las fuentes, el lote cuesta la mitad (50 %), pero no es inmediato.</t>
  </si>
  <si>
    <t xml:space="preserve">Coste de IA por factura (€)</t>
  </si>
  <si>
    <t xml:space="preserve">Solo modelo principal</t>
  </si>
  <si>
    <t xml:space="preserve">Con modelo barato primero</t>
  </si>
  <si>
    <t xml:space="preserve">Ahorro por factura</t>
  </si>
  <si>
    <t xml:space="preserve">Coste IA solo principal (€)</t>
  </si>
  <si>
    <t xml:space="preserve">Coste IA con modelo barato (€)</t>
  </si>
  <si>
    <t xml:space="preserve">Ahorro al mes (€)</t>
  </si>
  <si>
    <t xml:space="preserve">Precio del tramo (€)</t>
  </si>
  <si>
    <t xml:space="preserve">Margen tramo, solo principal (%)</t>
  </si>
  <si>
    <t xml:space="preserve">Margen tramo, con modelo barato (%)</t>
  </si>
  <si>
    <t xml:space="preserve">Con un coste de IA tan bajo, los tramos de precio pueden ser más baratos o el margen mucho mayor: decidir con datos reales.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</si>
</sst>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&quot; $&quot;;\(#,##0.00&quot; $)&quot;;\-"/>
    <numFmt numFmtId="166" formatCode="0.00"/>
    <numFmt numFmtId="167" formatCode="0.0%;\(0.0%\);\-"/>
    <numFmt numFmtId="168" formatCode="#,##0.00&quot; €&quot;;\(#,##0.00&quot; €)&quot;;\-"/>
    <numFmt numFmtId="169" formatCode="0.0"/>
    <numFmt numFmtId="170" formatCode="#,##0"/>
    <numFmt numFmtId="171" formatCode="#,##0&quot; €&quot;;\(#,##0&quot; €)&quot;;\-"/>
    <numFmt numFmtId="172" formatCode="0"/>
    <numFmt numFmtId="173" formatCode="#,##0.0000&quot; €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4D5C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E4D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9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15" hidden="false" customHeight="false" outlineLevel="0" collapsed="false">
      <c r="A4" s="4" t="s">
        <v>6</v>
      </c>
      <c r="B4" s="5" t="n">
        <v>0.1</v>
      </c>
      <c r="C4" s="4" t="s">
        <v>7</v>
      </c>
      <c r="D4" s="2" t="s">
        <v>8</v>
      </c>
    </row>
    <row r="5" customFormat="false" ht="15" hidden="false" customHeight="false" outlineLevel="0" collapsed="false">
      <c r="A5" s="4" t="s">
        <v>9</v>
      </c>
      <c r="B5" s="6" t="n">
        <v>1.1</v>
      </c>
      <c r="C5" s="4" t="s">
        <v>10</v>
      </c>
      <c r="D5" s="2" t="s">
        <v>11</v>
      </c>
    </row>
    <row r="6" customFormat="false" ht="15" hidden="false" customHeight="false" outlineLevel="0" collapsed="false">
      <c r="A6" s="4" t="s">
        <v>12</v>
      </c>
      <c r="B6" s="6" t="n">
        <v>0.92</v>
      </c>
      <c r="C6" s="4" t="s">
        <v>13</v>
      </c>
      <c r="D6" s="2" t="s">
        <v>14</v>
      </c>
    </row>
    <row r="7" customFormat="false" ht="15" hidden="false" customHeight="false" outlineLevel="0" collapsed="false">
      <c r="A7" s="4" t="s">
        <v>15</v>
      </c>
      <c r="B7" s="7" t="n">
        <v>0.21</v>
      </c>
      <c r="C7" s="4" t="s">
        <v>16</v>
      </c>
      <c r="D7" s="2" t="s">
        <v>17</v>
      </c>
    </row>
    <row r="8" customFormat="false" ht="15" hidden="false" customHeight="false" outlineLevel="0" collapsed="false">
      <c r="A8" s="4" t="s">
        <v>18</v>
      </c>
      <c r="B8" s="7" t="n">
        <v>0.015</v>
      </c>
      <c r="C8" s="4" t="s">
        <v>16</v>
      </c>
      <c r="D8" s="2" t="s">
        <v>19</v>
      </c>
    </row>
    <row r="9" customFormat="false" ht="15" hidden="false" customHeight="false" outlineLevel="0" collapsed="false">
      <c r="A9" s="4" t="s">
        <v>20</v>
      </c>
      <c r="B9" s="7" t="n">
        <v>0.005</v>
      </c>
      <c r="C9" s="4" t="s">
        <v>16</v>
      </c>
      <c r="D9" s="2" t="s">
        <v>21</v>
      </c>
    </row>
    <row r="10" customFormat="false" ht="15" hidden="false" customHeight="false" outlineLevel="0" collapsed="false">
      <c r="A10" s="4" t="s">
        <v>22</v>
      </c>
      <c r="B10" s="8" t="n">
        <v>0.25</v>
      </c>
      <c r="C10" s="4" t="s">
        <v>23</v>
      </c>
      <c r="D10" s="2" t="s">
        <v>24</v>
      </c>
    </row>
    <row r="11" customFormat="false" ht="15" hidden="false" customHeight="false" outlineLevel="0" collapsed="false">
      <c r="A11" s="4" t="s">
        <v>25</v>
      </c>
      <c r="B11" s="8" t="n">
        <v>0</v>
      </c>
      <c r="C11" s="4" t="s">
        <v>23</v>
      </c>
      <c r="D11" s="2" t="s">
        <v>26</v>
      </c>
    </row>
    <row r="12" customFormat="false" ht="15" hidden="false" customHeight="false" outlineLevel="0" collapsed="false">
      <c r="A12" s="4" t="s">
        <v>27</v>
      </c>
      <c r="B12" s="8" t="n">
        <v>18</v>
      </c>
      <c r="C12" s="4" t="s">
        <v>28</v>
      </c>
      <c r="D12" s="2" t="s">
        <v>29</v>
      </c>
    </row>
    <row r="13" customFormat="false" ht="15" hidden="false" customHeight="false" outlineLevel="0" collapsed="false">
      <c r="A13" s="4" t="s">
        <v>30</v>
      </c>
      <c r="B13" s="9" t="n">
        <v>3</v>
      </c>
      <c r="C13" s="4" t="s">
        <v>31</v>
      </c>
      <c r="D13" s="2" t="s">
        <v>32</v>
      </c>
    </row>
    <row r="14" customFormat="false" ht="15" hidden="false" customHeight="false" outlineLevel="0" collapsed="false">
      <c r="A14" s="4" t="s">
        <v>33</v>
      </c>
      <c r="B14" s="10" t="n">
        <v>200</v>
      </c>
      <c r="C14" s="4" t="s">
        <v>34</v>
      </c>
      <c r="D14" s="2" t="s">
        <v>35</v>
      </c>
    </row>
    <row r="15" customFormat="false" ht="15" hidden="false" customHeight="false" outlineLevel="0" collapsed="false">
      <c r="A15" s="4" t="s">
        <v>36</v>
      </c>
      <c r="B15" s="11" t="n">
        <v>2000</v>
      </c>
      <c r="C15" s="4" t="s">
        <v>23</v>
      </c>
      <c r="D15" s="2" t="s">
        <v>37</v>
      </c>
    </row>
    <row r="17" customFormat="false" ht="15" hidden="false" customHeight="false" outlineLevel="0" collapsed="false">
      <c r="A17" s="12" t="s">
        <v>38</v>
      </c>
    </row>
    <row r="18" customFormat="false" ht="15" hidden="false" customHeight="false" outlineLevel="0" collapsed="false">
      <c r="A18" s="3" t="s">
        <v>39</v>
      </c>
      <c r="B18" s="3" t="s">
        <v>40</v>
      </c>
      <c r="C18" s="3" t="s">
        <v>41</v>
      </c>
      <c r="D18" s="3" t="s">
        <v>42</v>
      </c>
    </row>
    <row r="19" customFormat="false" ht="15" hidden="false" customHeight="false" outlineLevel="0" collapsed="false">
      <c r="A19" s="4" t="s">
        <v>43</v>
      </c>
      <c r="B19" s="13" t="n">
        <v>200</v>
      </c>
      <c r="C19" s="11" t="n">
        <v>49</v>
      </c>
      <c r="D19" s="2" t="s">
        <v>44</v>
      </c>
    </row>
    <row r="20" customFormat="false" ht="15" hidden="false" customHeight="false" outlineLevel="0" collapsed="false">
      <c r="A20" s="4" t="s">
        <v>45</v>
      </c>
      <c r="B20" s="13" t="n">
        <v>1000</v>
      </c>
      <c r="C20" s="11" t="n">
        <v>249</v>
      </c>
      <c r="D20" s="2" t="s">
        <v>44</v>
      </c>
    </row>
    <row r="21" customFormat="false" ht="15" hidden="false" customHeight="false" outlineLevel="0" collapsed="false">
      <c r="A21" s="4" t="s">
        <v>46</v>
      </c>
      <c r="B21" s="13" t="n">
        <v>3000</v>
      </c>
      <c r="C21" s="11" t="n">
        <v>599</v>
      </c>
      <c r="D21" s="2" t="s">
        <v>44</v>
      </c>
    </row>
    <row r="22" customFormat="false" ht="15" hidden="false" customHeight="false" outlineLevel="0" collapsed="false">
      <c r="A22" s="4" t="s">
        <v>47</v>
      </c>
      <c r="B22" s="4" t="s">
        <v>48</v>
      </c>
      <c r="C22" s="8" t="n">
        <v>0.2</v>
      </c>
      <c r="D22" s="2" t="s">
        <v>49</v>
      </c>
    </row>
    <row r="24" customFormat="false" ht="15" hidden="false" customHeight="false" outlineLevel="0" collapsed="false">
      <c r="A24" s="4" t="s">
        <v>50</v>
      </c>
      <c r="B24" s="13" t="n">
        <v>100</v>
      </c>
      <c r="C24" s="11" t="n">
        <v>29</v>
      </c>
      <c r="D24" s="2" t="s">
        <v>51</v>
      </c>
    </row>
    <row r="26" customFormat="false" ht="15" hidden="false" customHeight="false" outlineLevel="0" collapsed="false">
      <c r="A26" s="4" t="s">
        <v>52</v>
      </c>
      <c r="C26" s="11" t="n">
        <v>49</v>
      </c>
      <c r="D26" s="2" t="s">
        <v>53</v>
      </c>
    </row>
    <row r="27" customFormat="false" ht="15" hidden="false" customHeight="false" outlineLevel="0" collapsed="false">
      <c r="A27" s="4" t="s">
        <v>54</v>
      </c>
      <c r="C27" s="11" t="n">
        <v>100</v>
      </c>
      <c r="D27" s="2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00"/>
    <col collapsed="false" customWidth="true" hidden="false" outlineLevel="0" max="6" min="6" style="0" width="3"/>
    <col collapsed="false" customWidth="true" hidden="false" outlineLevel="0" max="7" min="7" style="0" width="8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3" customFormat="false" ht="15" hidden="false" customHeight="false" outlineLevel="0" collapsed="false">
      <c r="A3" s="3" t="s">
        <v>57</v>
      </c>
      <c r="B3" s="3" t="s">
        <v>58</v>
      </c>
      <c r="C3" s="3" t="s">
        <v>59</v>
      </c>
      <c r="D3" s="3" t="s">
        <v>60</v>
      </c>
      <c r="E3" s="3" t="s">
        <v>61</v>
      </c>
    </row>
    <row r="4" customFormat="false" ht="15" hidden="false" customHeight="false" outlineLevel="0" collapsed="false">
      <c r="A4" s="4" t="s">
        <v>62</v>
      </c>
      <c r="B4" s="14" t="n">
        <v>7</v>
      </c>
      <c r="C4" s="15" t="n">
        <f aca="false">B4*Supuestos!$B$6</f>
        <v>6.44</v>
      </c>
      <c r="D4" s="8" t="n">
        <v>0</v>
      </c>
      <c r="E4" s="2" t="s">
        <v>63</v>
      </c>
    </row>
    <row r="5" customFormat="false" ht="15" hidden="false" customHeight="false" outlineLevel="0" collapsed="false">
      <c r="A5" s="4" t="s">
        <v>64</v>
      </c>
      <c r="B5" s="14" t="n">
        <v>25</v>
      </c>
      <c r="C5" s="15" t="n">
        <f aca="false">B5*Supuestos!$B$6</f>
        <v>23</v>
      </c>
      <c r="D5" s="8" t="n">
        <v>0</v>
      </c>
      <c r="E5" s="2" t="s">
        <v>65</v>
      </c>
    </row>
    <row r="6" customFormat="false" ht="15" hidden="false" customHeight="false" outlineLevel="0" collapsed="false">
      <c r="A6" s="4" t="s">
        <v>66</v>
      </c>
      <c r="B6" s="14" t="n">
        <v>0</v>
      </c>
      <c r="C6" s="15" t="n">
        <f aca="false">B6*Supuestos!$B$6</f>
        <v>0</v>
      </c>
      <c r="D6" s="8" t="n">
        <v>0</v>
      </c>
      <c r="E6" s="2" t="s">
        <v>67</v>
      </c>
    </row>
    <row r="7" customFormat="false" ht="15" hidden="false" customHeight="false" outlineLevel="0" collapsed="false">
      <c r="A7" s="4" t="s">
        <v>68</v>
      </c>
      <c r="B7" s="4"/>
      <c r="C7" s="15" t="n">
        <f aca="false">H7/12</f>
        <v>0.833333333333333</v>
      </c>
      <c r="D7" s="15" t="n">
        <f aca="false">H7/12</f>
        <v>0.833333333333333</v>
      </c>
      <c r="E7" s="2" t="s">
        <v>69</v>
      </c>
      <c r="G7" s="2" t="s">
        <v>70</v>
      </c>
      <c r="H7" s="16" t="n">
        <v>10</v>
      </c>
    </row>
    <row r="8" customFormat="false" ht="15" hidden="false" customHeight="false" outlineLevel="0" collapsed="false">
      <c r="A8" s="4" t="s">
        <v>71</v>
      </c>
      <c r="C8" s="8" t="n">
        <v>0</v>
      </c>
      <c r="D8" s="8" t="n">
        <v>0</v>
      </c>
      <c r="E8" s="2" t="s">
        <v>72</v>
      </c>
    </row>
    <row r="9" customFormat="false" ht="15" hidden="false" customHeight="false" outlineLevel="0" collapsed="false">
      <c r="A9" s="12" t="s">
        <v>73</v>
      </c>
      <c r="C9" s="17" t="n">
        <f aca="false">SUM(C4:C8)</f>
        <v>30.2733333333333</v>
      </c>
      <c r="D9" s="17" t="n">
        <f aca="false">SUM(D4:D8)</f>
        <v>0.833333333333333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1" min="2" style="0" width="19"/>
  </cols>
  <sheetData>
    <row r="1" customFormat="false" ht="17.35" hidden="false" customHeight="false" outlineLevel="0" collapsed="false">
      <c r="A1" s="1" t="s">
        <v>74</v>
      </c>
    </row>
    <row r="2" customFormat="false" ht="15" hidden="false" customHeight="false" outlineLevel="0" collapsed="false">
      <c r="A2" s="2" t="s">
        <v>75</v>
      </c>
    </row>
    <row r="4" customFormat="false" ht="42" hidden="false" customHeight="true" outlineLevel="0" collapsed="false">
      <c r="A4" s="3" t="s">
        <v>76</v>
      </c>
      <c r="B4" s="3" t="s">
        <v>77</v>
      </c>
      <c r="C4" s="3" t="s">
        <v>78</v>
      </c>
      <c r="D4" s="3" t="s">
        <v>79</v>
      </c>
      <c r="E4" s="3" t="s">
        <v>80</v>
      </c>
      <c r="F4" s="3" t="s">
        <v>81</v>
      </c>
      <c r="G4" s="3" t="s">
        <v>82</v>
      </c>
      <c r="H4" s="3" t="s">
        <v>83</v>
      </c>
      <c r="I4" s="3" t="s">
        <v>84</v>
      </c>
      <c r="J4" s="3" t="s">
        <v>85</v>
      </c>
      <c r="K4" s="3" t="s">
        <v>86</v>
      </c>
    </row>
    <row r="5" customFormat="false" ht="15" hidden="false" customHeight="false" outlineLevel="0" collapsed="false">
      <c r="A5" s="13" t="n">
        <v>50</v>
      </c>
      <c r="B5" s="15" t="n">
        <f aca="false">A5*Supuestos!$B$5*Supuestos!$B$4*Supuestos!$B$6</f>
        <v>5.06</v>
      </c>
      <c r="C5" s="15" t="n">
        <f aca="false">A5*Supuestos!$B$11</f>
        <v>0</v>
      </c>
      <c r="D5" s="15" t="n">
        <f aca="false">IF(A5&lt;=Supuestos!$B$19,Supuestos!$C$19,IF(A5&lt;=Supuestos!$B$20,Supuestos!$C$20,IF(A5&lt;=Supuestos!$B$21,Supuestos!$C$21,Supuestos!$C$21+(A5-Supuestos!$B$21)*Supuestos!$C$22)))</f>
        <v>49</v>
      </c>
      <c r="E5" s="15" t="n">
        <f aca="false">D5*(1+Supuestos!$B$7)*(Supuestos!$B$8+Supuestos!$B$9)+Supuestos!$B$10</f>
        <v>1.4358</v>
      </c>
      <c r="F5" s="17" t="n">
        <f aca="false">D5-B5-C5-E5</f>
        <v>42.5042</v>
      </c>
      <c r="G5" s="18" t="n">
        <f aca="false">IF(D5=0,0,F5/D5)</f>
        <v>0.867432653061224</v>
      </c>
      <c r="H5" s="15" t="n">
        <f aca="false">Supuestos!$C$26-B5-C5-(Supuestos!$C$26*(1+Supuestos!$B$7)*(Supuestos!$B$8+Supuestos!$B$9)+Supuestos!$B$10)</f>
        <v>42.5042</v>
      </c>
      <c r="I5" s="15" t="n">
        <f aca="false">Supuestos!$C$27-B5-C5-(Supuestos!$C$27*(1+Supuestos!$B$7)*(Supuestos!$B$8+Supuestos!$B$9)+Supuestos!$B$10)</f>
        <v>92.27</v>
      </c>
      <c r="J5" s="19" t="n">
        <f aca="false">A5*Supuestos!$B$13/60*Supuestos!$B$12</f>
        <v>45</v>
      </c>
      <c r="K5" s="18" t="n">
        <f aca="false">IF(J5=0,0,D5/J5)</f>
        <v>1.08888888888889</v>
      </c>
    </row>
    <row r="6" customFormat="false" ht="15" hidden="false" customHeight="false" outlineLevel="0" collapsed="false">
      <c r="A6" s="13" t="n">
        <v>100</v>
      </c>
      <c r="B6" s="15" t="n">
        <f aca="false">A6*Supuestos!$B$5*Supuestos!$B$4*Supuestos!$B$6</f>
        <v>10.12</v>
      </c>
      <c r="C6" s="15" t="n">
        <f aca="false">A6*Supuestos!$B$11</f>
        <v>0</v>
      </c>
      <c r="D6" s="15" t="n">
        <f aca="false">IF(A6&lt;=Supuestos!$B$19,Supuestos!$C$19,IF(A6&lt;=Supuestos!$B$20,Supuestos!$C$20,IF(A6&lt;=Supuestos!$B$21,Supuestos!$C$21,Supuestos!$C$21+(A6-Supuestos!$B$21)*Supuestos!$C$22)))</f>
        <v>49</v>
      </c>
      <c r="E6" s="15" t="n">
        <f aca="false">D6*(1+Supuestos!$B$7)*(Supuestos!$B$8+Supuestos!$B$9)+Supuestos!$B$10</f>
        <v>1.4358</v>
      </c>
      <c r="F6" s="17" t="n">
        <f aca="false">D6-B6-C6-E6</f>
        <v>37.4442</v>
      </c>
      <c r="G6" s="18" t="n">
        <f aca="false">IF(D6=0,0,F6/D6)</f>
        <v>0.764167346938775</v>
      </c>
      <c r="H6" s="15" t="n">
        <f aca="false">Supuestos!$C$26-B6-C6-(Supuestos!$C$26*(1+Supuestos!$B$7)*(Supuestos!$B$8+Supuestos!$B$9)+Supuestos!$B$10)</f>
        <v>37.4442</v>
      </c>
      <c r="I6" s="15" t="n">
        <f aca="false">Supuestos!$C$27-B6-C6-(Supuestos!$C$27*(1+Supuestos!$B$7)*(Supuestos!$B$8+Supuestos!$B$9)+Supuestos!$B$10)</f>
        <v>87.21</v>
      </c>
      <c r="J6" s="19" t="n">
        <f aca="false">A6*Supuestos!$B$13/60*Supuestos!$B$12</f>
        <v>90</v>
      </c>
      <c r="K6" s="18" t="n">
        <f aca="false">IF(J6=0,0,D6/J6)</f>
        <v>0.544444444444444</v>
      </c>
    </row>
    <row r="7" customFormat="false" ht="15" hidden="false" customHeight="false" outlineLevel="0" collapsed="false">
      <c r="A7" s="13" t="n">
        <v>200</v>
      </c>
      <c r="B7" s="15" t="n">
        <f aca="false">A7*Supuestos!$B$5*Supuestos!$B$4*Supuestos!$B$6</f>
        <v>20.24</v>
      </c>
      <c r="C7" s="15" t="n">
        <f aca="false">A7*Supuestos!$B$11</f>
        <v>0</v>
      </c>
      <c r="D7" s="15" t="n">
        <f aca="false">IF(A7&lt;=Supuestos!$B$19,Supuestos!$C$19,IF(A7&lt;=Supuestos!$B$20,Supuestos!$C$20,IF(A7&lt;=Supuestos!$B$21,Supuestos!$C$21,Supuestos!$C$21+(A7-Supuestos!$B$21)*Supuestos!$C$22)))</f>
        <v>49</v>
      </c>
      <c r="E7" s="15" t="n">
        <f aca="false">D7*(1+Supuestos!$B$7)*(Supuestos!$B$8+Supuestos!$B$9)+Supuestos!$B$10</f>
        <v>1.4358</v>
      </c>
      <c r="F7" s="17" t="n">
        <f aca="false">D7-B7-C7-E7</f>
        <v>27.3242</v>
      </c>
      <c r="G7" s="18" t="n">
        <f aca="false">IF(D7=0,0,F7/D7)</f>
        <v>0.557636734693877</v>
      </c>
      <c r="H7" s="15" t="n">
        <f aca="false">Supuestos!$C$26-B7-C7-(Supuestos!$C$26*(1+Supuestos!$B$7)*(Supuestos!$B$8+Supuestos!$B$9)+Supuestos!$B$10)</f>
        <v>27.3242</v>
      </c>
      <c r="I7" s="15" t="n">
        <f aca="false">Supuestos!$C$27-B7-C7-(Supuestos!$C$27*(1+Supuestos!$B$7)*(Supuestos!$B$8+Supuestos!$B$9)+Supuestos!$B$10)</f>
        <v>77.09</v>
      </c>
      <c r="J7" s="19" t="n">
        <f aca="false">A7*Supuestos!$B$13/60*Supuestos!$B$12</f>
        <v>180</v>
      </c>
      <c r="K7" s="18" t="n">
        <f aca="false">IF(J7=0,0,D7/J7)</f>
        <v>0.272222222222222</v>
      </c>
    </row>
    <row r="8" customFormat="false" ht="15" hidden="false" customHeight="false" outlineLevel="0" collapsed="false">
      <c r="A8" s="13" t="n">
        <v>500</v>
      </c>
      <c r="B8" s="15" t="n">
        <f aca="false">A8*Supuestos!$B$5*Supuestos!$B$4*Supuestos!$B$6</f>
        <v>50.6</v>
      </c>
      <c r="C8" s="15" t="n">
        <f aca="false">A8*Supuestos!$B$11</f>
        <v>0</v>
      </c>
      <c r="D8" s="15" t="n">
        <f aca="false">IF(A8&lt;=Supuestos!$B$19,Supuestos!$C$19,IF(A8&lt;=Supuestos!$B$20,Supuestos!$C$20,IF(A8&lt;=Supuestos!$B$21,Supuestos!$C$21,Supuestos!$C$21+(A8-Supuestos!$B$21)*Supuestos!$C$22)))</f>
        <v>249</v>
      </c>
      <c r="E8" s="15" t="n">
        <f aca="false">D8*(1+Supuestos!$B$7)*(Supuestos!$B$8+Supuestos!$B$9)+Supuestos!$B$10</f>
        <v>6.2758</v>
      </c>
      <c r="F8" s="17" t="n">
        <f aca="false">D8-B8-C8-E8</f>
        <v>192.1242</v>
      </c>
      <c r="G8" s="18" t="n">
        <f aca="false">IF(D8=0,0,F8/D8)</f>
        <v>0.771583132530121</v>
      </c>
      <c r="H8" s="15" t="n">
        <f aca="false">Supuestos!$C$26-B8-C8-(Supuestos!$C$26*(1+Supuestos!$B$7)*(Supuestos!$B$8+Supuestos!$B$9)+Supuestos!$B$10)</f>
        <v>-3.0358</v>
      </c>
      <c r="I8" s="15" t="n">
        <f aca="false">Supuestos!$C$27-B8-C8-(Supuestos!$C$27*(1+Supuestos!$B$7)*(Supuestos!$B$8+Supuestos!$B$9)+Supuestos!$B$10)</f>
        <v>46.73</v>
      </c>
      <c r="J8" s="19" t="n">
        <f aca="false">A8*Supuestos!$B$13/60*Supuestos!$B$12</f>
        <v>450</v>
      </c>
      <c r="K8" s="18" t="n">
        <f aca="false">IF(J8=0,0,D8/J8)</f>
        <v>0.553333333333333</v>
      </c>
    </row>
    <row r="9" customFormat="false" ht="15" hidden="false" customHeight="false" outlineLevel="0" collapsed="false">
      <c r="A9" s="13" t="n">
        <v>1000</v>
      </c>
      <c r="B9" s="15" t="n">
        <f aca="false">A9*Supuestos!$B$5*Supuestos!$B$4*Supuestos!$B$6</f>
        <v>101.2</v>
      </c>
      <c r="C9" s="15" t="n">
        <f aca="false">A9*Supuestos!$B$11</f>
        <v>0</v>
      </c>
      <c r="D9" s="15" t="n">
        <f aca="false">IF(A9&lt;=Supuestos!$B$19,Supuestos!$C$19,IF(A9&lt;=Supuestos!$B$20,Supuestos!$C$20,IF(A9&lt;=Supuestos!$B$21,Supuestos!$C$21,Supuestos!$C$21+(A9-Supuestos!$B$21)*Supuestos!$C$22)))</f>
        <v>249</v>
      </c>
      <c r="E9" s="15" t="n">
        <f aca="false">D9*(1+Supuestos!$B$7)*(Supuestos!$B$8+Supuestos!$B$9)+Supuestos!$B$10</f>
        <v>6.2758</v>
      </c>
      <c r="F9" s="17" t="n">
        <f aca="false">D9-B9-C9-E9</f>
        <v>141.5242</v>
      </c>
      <c r="G9" s="18" t="n">
        <f aca="false">IF(D9=0,0,F9/D9)</f>
        <v>0.568370281124498</v>
      </c>
      <c r="H9" s="15" t="n">
        <f aca="false">Supuestos!$C$26-B9-C9-(Supuestos!$C$26*(1+Supuestos!$B$7)*(Supuestos!$B$8+Supuestos!$B$9)+Supuestos!$B$10)</f>
        <v>-53.6358</v>
      </c>
      <c r="I9" s="15" t="n">
        <f aca="false">Supuestos!$C$27-B9-C9-(Supuestos!$C$27*(1+Supuestos!$B$7)*(Supuestos!$B$8+Supuestos!$B$9)+Supuestos!$B$10)</f>
        <v>-3.87</v>
      </c>
      <c r="J9" s="19" t="n">
        <f aca="false">A9*Supuestos!$B$13/60*Supuestos!$B$12</f>
        <v>900</v>
      </c>
      <c r="K9" s="18" t="n">
        <f aca="false">IF(J9=0,0,D9/J9)</f>
        <v>0.276666666666667</v>
      </c>
    </row>
    <row r="10" customFormat="false" ht="15" hidden="false" customHeight="false" outlineLevel="0" collapsed="false">
      <c r="A10" s="13" t="n">
        <v>2000</v>
      </c>
      <c r="B10" s="15" t="n">
        <f aca="false">A10*Supuestos!$B$5*Supuestos!$B$4*Supuestos!$B$6</f>
        <v>202.4</v>
      </c>
      <c r="C10" s="15" t="n">
        <f aca="false">A10*Supuestos!$B$11</f>
        <v>0</v>
      </c>
      <c r="D10" s="15" t="n">
        <f aca="false">IF(A10&lt;=Supuestos!$B$19,Supuestos!$C$19,IF(A10&lt;=Supuestos!$B$20,Supuestos!$C$20,IF(A10&lt;=Supuestos!$B$21,Supuestos!$C$21,Supuestos!$C$21+(A10-Supuestos!$B$21)*Supuestos!$C$22)))</f>
        <v>599</v>
      </c>
      <c r="E10" s="15" t="n">
        <f aca="false">D10*(1+Supuestos!$B$7)*(Supuestos!$B$8+Supuestos!$B$9)+Supuestos!$B$10</f>
        <v>14.7458</v>
      </c>
      <c r="F10" s="17" t="n">
        <f aca="false">D10-B10-C10-E10</f>
        <v>381.8542</v>
      </c>
      <c r="G10" s="18" t="n">
        <f aca="false">IF(D10=0,0,F10/D10)</f>
        <v>0.637486143572621</v>
      </c>
      <c r="H10" s="15" t="n">
        <f aca="false">Supuestos!$C$26-B10-C10-(Supuestos!$C$26*(1+Supuestos!$B$7)*(Supuestos!$B$8+Supuestos!$B$9)+Supuestos!$B$10)</f>
        <v>-154.8358</v>
      </c>
      <c r="I10" s="15" t="n">
        <f aca="false">Supuestos!$C$27-B10-C10-(Supuestos!$C$27*(1+Supuestos!$B$7)*(Supuestos!$B$8+Supuestos!$B$9)+Supuestos!$B$10)</f>
        <v>-105.07</v>
      </c>
      <c r="J10" s="19" t="n">
        <f aca="false">A10*Supuestos!$B$13/60*Supuestos!$B$12</f>
        <v>1800</v>
      </c>
      <c r="K10" s="18" t="n">
        <f aca="false">IF(J10=0,0,D10/J10)</f>
        <v>0.332777777777778</v>
      </c>
    </row>
    <row r="11" customFormat="false" ht="15" hidden="false" customHeight="false" outlineLevel="0" collapsed="false">
      <c r="A11" s="13" t="n">
        <v>3000</v>
      </c>
      <c r="B11" s="15" t="n">
        <f aca="false">A11*Supuestos!$B$5*Supuestos!$B$4*Supuestos!$B$6</f>
        <v>303.6</v>
      </c>
      <c r="C11" s="15" t="n">
        <f aca="false">A11*Supuestos!$B$11</f>
        <v>0</v>
      </c>
      <c r="D11" s="15" t="n">
        <f aca="false">IF(A11&lt;=Supuestos!$B$19,Supuestos!$C$19,IF(A11&lt;=Supuestos!$B$20,Supuestos!$C$20,IF(A11&lt;=Supuestos!$B$21,Supuestos!$C$21,Supuestos!$C$21+(A11-Supuestos!$B$21)*Supuestos!$C$22)))</f>
        <v>599</v>
      </c>
      <c r="E11" s="15" t="n">
        <f aca="false">D11*(1+Supuestos!$B$7)*(Supuestos!$B$8+Supuestos!$B$9)+Supuestos!$B$10</f>
        <v>14.7458</v>
      </c>
      <c r="F11" s="17" t="n">
        <f aca="false">D11-B11-C11-E11</f>
        <v>280.6542</v>
      </c>
      <c r="G11" s="18" t="n">
        <f aca="false">IF(D11=0,0,F11/D11)</f>
        <v>0.468537896494157</v>
      </c>
      <c r="H11" s="15" t="n">
        <f aca="false">Supuestos!$C$26-B11-C11-(Supuestos!$C$26*(1+Supuestos!$B$7)*(Supuestos!$B$8+Supuestos!$B$9)+Supuestos!$B$10)</f>
        <v>-256.0358</v>
      </c>
      <c r="I11" s="15" t="n">
        <f aca="false">Supuestos!$C$27-B11-C11-(Supuestos!$C$27*(1+Supuestos!$B$7)*(Supuestos!$B$8+Supuestos!$B$9)+Supuestos!$B$10)</f>
        <v>-206.27</v>
      </c>
      <c r="J11" s="19" t="n">
        <f aca="false">A11*Supuestos!$B$13/60*Supuestos!$B$12</f>
        <v>2700</v>
      </c>
      <c r="K11" s="18" t="n">
        <f aca="false">IF(J11=0,0,D11/J11)</f>
        <v>0.221851851851852</v>
      </c>
    </row>
    <row r="12" customFormat="false" ht="15" hidden="false" customHeight="false" outlineLevel="0" collapsed="false">
      <c r="A12" s="13" t="n">
        <v>5000</v>
      </c>
      <c r="B12" s="15" t="n">
        <f aca="false">A12*Supuestos!$B$5*Supuestos!$B$4*Supuestos!$B$6</f>
        <v>506</v>
      </c>
      <c r="C12" s="15" t="n">
        <f aca="false">A12*Supuestos!$B$11</f>
        <v>0</v>
      </c>
      <c r="D12" s="15" t="n">
        <f aca="false">IF(A12&lt;=Supuestos!$B$19,Supuestos!$C$19,IF(A12&lt;=Supuestos!$B$20,Supuestos!$C$20,IF(A12&lt;=Supuestos!$B$21,Supuestos!$C$21,Supuestos!$C$21+(A12-Supuestos!$B$21)*Supuestos!$C$22)))</f>
        <v>999</v>
      </c>
      <c r="E12" s="15" t="n">
        <f aca="false">D12*(1+Supuestos!$B$7)*(Supuestos!$B$8+Supuestos!$B$9)+Supuestos!$B$10</f>
        <v>24.4258</v>
      </c>
      <c r="F12" s="17" t="n">
        <f aca="false">D12-B12-C12-E12</f>
        <v>468.5742</v>
      </c>
      <c r="G12" s="18" t="n">
        <f aca="false">IF(D12=0,0,F12/D12)</f>
        <v>0.469043243243243</v>
      </c>
      <c r="H12" s="15" t="n">
        <f aca="false">Supuestos!$C$26-B12-C12-(Supuestos!$C$26*(1+Supuestos!$B$7)*(Supuestos!$B$8+Supuestos!$B$9)+Supuestos!$B$10)</f>
        <v>-458.4358</v>
      </c>
      <c r="I12" s="15" t="n">
        <f aca="false">Supuestos!$C$27-B12-C12-(Supuestos!$C$27*(1+Supuestos!$B$7)*(Supuestos!$B$8+Supuestos!$B$9)+Supuestos!$B$10)</f>
        <v>-408.67</v>
      </c>
      <c r="J12" s="19" t="n">
        <f aca="false">A12*Supuestos!$B$13/60*Supuestos!$B$12</f>
        <v>4500</v>
      </c>
      <c r="K12" s="18" t="n">
        <f aca="false">IF(J12=0,0,D12/J12)</f>
        <v>0.222</v>
      </c>
    </row>
    <row r="14" customFormat="false" ht="15" hidden="false" customHeight="false" outlineLevel="0" collapsed="false">
      <c r="A14" s="2" t="s">
        <v>87</v>
      </c>
    </row>
    <row r="16" customFormat="false" ht="15" hidden="false" customHeight="false" outlineLevel="0" collapsed="false">
      <c r="A16" s="12" t="s">
        <v>88</v>
      </c>
    </row>
    <row r="17" customFormat="false" ht="23.85" hidden="false" customHeight="false" outlineLevel="0" collapsed="false">
      <c r="A17" s="3" t="s">
        <v>76</v>
      </c>
      <c r="B17" s="3" t="s">
        <v>77</v>
      </c>
      <c r="C17" s="3" t="s">
        <v>78</v>
      </c>
      <c r="D17" s="3" t="s">
        <v>89</v>
      </c>
      <c r="E17" s="3" t="s">
        <v>80</v>
      </c>
      <c r="F17" s="3" t="s">
        <v>90</v>
      </c>
      <c r="G17" s="3" t="s">
        <v>91</v>
      </c>
    </row>
    <row r="18" customFormat="false" ht="15" hidden="false" customHeight="false" outlineLevel="0" collapsed="false">
      <c r="A18" s="13" t="n">
        <v>100</v>
      </c>
      <c r="B18" s="15" t="n">
        <f aca="false">A18*Supuestos!$B$5*Supuestos!$B$4*Supuestos!$B$6</f>
        <v>10.12</v>
      </c>
      <c r="C18" s="15" t="n">
        <f aca="false">A18*Supuestos!$B$11</f>
        <v>0</v>
      </c>
      <c r="D18" s="15" t="n">
        <f aca="false">Supuestos!$C$24</f>
        <v>29</v>
      </c>
      <c r="E18" s="15" t="n">
        <f aca="false">D18*(1+Supuestos!$B$7)*(Supuestos!$B$8+Supuestos!$B$9)+Supuestos!$B$10</f>
        <v>0.9518</v>
      </c>
      <c r="F18" s="17" t="n">
        <f aca="false">D18-B18-C18-E18</f>
        <v>17.9282</v>
      </c>
      <c r="G18" s="18" t="n">
        <f aca="false">IF(D18=0,0,F18/D18)</f>
        <v>0.618213793103448</v>
      </c>
    </row>
    <row r="19" customFormat="false" ht="15" hidden="false" customHeight="false" outlineLevel="0" collapsed="false">
      <c r="A19" s="13" t="n">
        <v>200</v>
      </c>
      <c r="B19" s="15" t="n">
        <f aca="false">A19*Supuestos!$B$5*Supuestos!$B$4*Supuestos!$B$6</f>
        <v>20.24</v>
      </c>
      <c r="C19" s="15" t="n">
        <f aca="false">A19*Supuestos!$B$11</f>
        <v>0</v>
      </c>
      <c r="D19" s="15" t="n">
        <f aca="false">Supuestos!$C$24</f>
        <v>29</v>
      </c>
      <c r="E19" s="15" t="n">
        <f aca="false">D19*(1+Supuestos!$B$7)*(Supuestos!$B$8+Supuestos!$B$9)+Supuestos!$B$10</f>
        <v>0.9518</v>
      </c>
      <c r="F19" s="17" t="n">
        <f aca="false">D19-B19-C19-E19</f>
        <v>7.80819999999999</v>
      </c>
      <c r="G19" s="18" t="n">
        <f aca="false">IF(D19=0,0,F19/D19)</f>
        <v>0.269248275862069</v>
      </c>
    </row>
    <row r="20" customFormat="false" ht="15" hidden="false" customHeight="false" outlineLevel="0" collapsed="false">
      <c r="A20" s="13" t="n">
        <v>500</v>
      </c>
      <c r="B20" s="15" t="n">
        <f aca="false">A20*Supuestos!$B$5*Supuestos!$B$4*Supuestos!$B$6</f>
        <v>50.6</v>
      </c>
      <c r="C20" s="15" t="n">
        <f aca="false">A20*Supuestos!$B$11</f>
        <v>0</v>
      </c>
      <c r="D20" s="15" t="n">
        <f aca="false">Supuestos!$C$24</f>
        <v>29</v>
      </c>
      <c r="E20" s="15" t="n">
        <f aca="false">D20*(1+Supuestos!$B$7)*(Supuestos!$B$8+Supuestos!$B$9)+Supuestos!$B$10</f>
        <v>0.9518</v>
      </c>
      <c r="F20" s="17" t="n">
        <f aca="false">D20-B20-C20-E20</f>
        <v>-22.5518</v>
      </c>
      <c r="G20" s="18" t="n">
        <f aca="false">IF(D20=0,0,F20/D20)</f>
        <v>-0.777648275862069</v>
      </c>
    </row>
    <row r="21" customFormat="false" ht="15" hidden="false" customHeight="false" outlineLevel="0" collapsed="false">
      <c r="A21" s="13" t="n">
        <v>1000</v>
      </c>
      <c r="B21" s="15" t="n">
        <f aca="false">A21*Supuestos!$B$5*Supuestos!$B$4*Supuestos!$B$6</f>
        <v>101.2</v>
      </c>
      <c r="C21" s="15" t="n">
        <f aca="false">A21*Supuestos!$B$11</f>
        <v>0</v>
      </c>
      <c r="D21" s="15" t="n">
        <f aca="false">Supuestos!$C$24</f>
        <v>29</v>
      </c>
      <c r="E21" s="15" t="n">
        <f aca="false">D21*(1+Supuestos!$B$7)*(Supuestos!$B$8+Supuestos!$B$9)+Supuestos!$B$10</f>
        <v>0.9518</v>
      </c>
      <c r="F21" s="17" t="n">
        <f aca="false">D21-B21-C21-E21</f>
        <v>-73.1518</v>
      </c>
      <c r="G21" s="18" t="n">
        <f aca="false">IF(D21=0,0,F21/D21)</f>
        <v>-2.52247586206897</v>
      </c>
    </row>
    <row r="22" customFormat="false" ht="15" hidden="false" customHeight="false" outlineLevel="0" collapsed="false">
      <c r="A22" s="2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93</v>
      </c>
    </row>
    <row r="3" customFormat="false" ht="15" hidden="false" customHeight="false" outlineLevel="0" collapsed="false">
      <c r="A3" s="3" t="s">
        <v>57</v>
      </c>
      <c r="B3" s="3" t="s">
        <v>3</v>
      </c>
      <c r="C3" s="3" t="s">
        <v>42</v>
      </c>
    </row>
    <row r="4" customFormat="false" ht="15" hidden="false" customHeight="false" outlineLevel="0" collapsed="false">
      <c r="A4" s="4" t="s">
        <v>33</v>
      </c>
      <c r="B4" s="20" t="n">
        <f aca="false">Supuestos!B14</f>
        <v>200</v>
      </c>
      <c r="C4" s="2" t="s">
        <v>94</v>
      </c>
    </row>
    <row r="5" customFormat="false" ht="15" hidden="false" customHeight="false" outlineLevel="0" collapsed="false">
      <c r="A5" s="4" t="s">
        <v>95</v>
      </c>
      <c r="B5" s="15" t="n">
        <f aca="false">IF(B4&lt;=Supuestos!B19,Supuestos!C19,IF(B4&lt;=Supuestos!B20,Supuestos!C20,IF(B4&lt;=Supuestos!B21,Supuestos!C21,Supuestos!C21+(B4-Supuestos!B21)*Supuestos!C22)))</f>
        <v>49</v>
      </c>
      <c r="C5" s="2"/>
    </row>
    <row r="6" customFormat="false" ht="15" hidden="false" customHeight="false" outlineLevel="0" collapsed="false">
      <c r="A6" s="4" t="s">
        <v>96</v>
      </c>
      <c r="B6" s="15" t="n">
        <f aca="false">B4*Supuestos!B5*Supuestos!B4*Supuestos!B6+B4*Supuestos!B11+B5*(1+Supuestos!B7)*(Supuestos!B8+Supuestos!B9)+Supuestos!B10</f>
        <v>21.6758</v>
      </c>
      <c r="C6" s="2" t="s">
        <v>97</v>
      </c>
    </row>
    <row r="7" customFormat="false" ht="15" hidden="false" customHeight="false" outlineLevel="0" collapsed="false">
      <c r="A7" s="4" t="s">
        <v>98</v>
      </c>
      <c r="B7" s="17" t="n">
        <f aca="false">B5-B6</f>
        <v>27.3242</v>
      </c>
      <c r="C7" s="2"/>
    </row>
    <row r="8" customFormat="false" ht="15" hidden="false" customHeight="false" outlineLevel="0" collapsed="false">
      <c r="A8" s="4" t="s">
        <v>99</v>
      </c>
      <c r="B8" s="17" t="n">
        <f aca="false">Supuestos!C24-(B4*Supuestos!B5*Supuestos!B4*Supuestos!B6+B4*Supuestos!B11+Supuestos!C24*(1+Supuestos!B7)*(Supuestos!B8+Supuestos!B9)+Supuestos!B10)</f>
        <v>7.8082</v>
      </c>
      <c r="C8" s="2" t="s">
        <v>100</v>
      </c>
    </row>
    <row r="9" customFormat="false" ht="15" hidden="false" customHeight="false" outlineLevel="0" collapsed="false">
      <c r="A9" s="4" t="s">
        <v>101</v>
      </c>
      <c r="B9" s="15" t="n">
        <f aca="false">Fijos!C9</f>
        <v>30.2733333333333</v>
      </c>
      <c r="C9" s="2" t="s">
        <v>102</v>
      </c>
    </row>
    <row r="10" customFormat="false" ht="15" hidden="false" customHeight="false" outlineLevel="0" collapsed="false">
      <c r="A10" s="4" t="s">
        <v>103</v>
      </c>
      <c r="B10" s="21" t="n">
        <f aca="false">IF(B7&lt;=0,"no se cubre",ROUNDUP(B9/B7,0))</f>
        <v>2</v>
      </c>
      <c r="C10" s="2"/>
    </row>
    <row r="11" customFormat="false" ht="15" hidden="false" customHeight="false" outlineLevel="0" collapsed="false">
      <c r="A11" s="4" t="s">
        <v>104</v>
      </c>
      <c r="B11" s="22" t="n">
        <f aca="false">IF(B8&lt;=0,"no se cubre",ROUNDUP(B9/B8,0))</f>
        <v>4</v>
      </c>
      <c r="C11" s="2"/>
    </row>
    <row r="12" customFormat="false" ht="15" hidden="false" customHeight="false" outlineLevel="0" collapsed="false">
      <c r="A12" s="4" t="s">
        <v>105</v>
      </c>
      <c r="B12" s="19" t="n">
        <f aca="false">Supuestos!B15</f>
        <v>2000</v>
      </c>
      <c r="C12" s="2"/>
    </row>
    <row r="13" customFormat="false" ht="15" hidden="false" customHeight="false" outlineLevel="0" collapsed="false">
      <c r="A13" s="4" t="s">
        <v>106</v>
      </c>
      <c r="B13" s="21" t="n">
        <f aca="false">IF(B7&lt;=0,"no se cubre",ROUNDUP((B12+B9)/B7,0))</f>
        <v>75</v>
      </c>
      <c r="C13" s="2" t="s">
        <v>107</v>
      </c>
    </row>
    <row r="14" customFormat="false" ht="15" hidden="false" customHeight="false" outlineLevel="0" collapsed="false">
      <c r="A14" s="4" t="s">
        <v>108</v>
      </c>
      <c r="B14" s="22" t="n">
        <f aca="false">IF(B8&lt;=0,"no se cubre",ROUNDUP((B12+B9)/B8,0))</f>
        <v>261</v>
      </c>
      <c r="C14" s="2"/>
    </row>
    <row r="15" customFormat="false" ht="15" hidden="false" customHeight="false" outlineLevel="0" collapsed="false">
      <c r="A15" s="4" t="s">
        <v>109</v>
      </c>
      <c r="B15" s="15" t="n">
        <f aca="false">Fijos!D9</f>
        <v>0.833333333333333</v>
      </c>
      <c r="C15" s="2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111</v>
      </c>
    </row>
    <row r="3" customFormat="false" ht="15" hidden="false" customHeight="false" outlineLevel="0" collapsed="false">
      <c r="A3" s="12" t="s">
        <v>112</v>
      </c>
    </row>
    <row r="4" customFormat="false" ht="15" hidden="false" customHeight="false" outlineLevel="0" collapsed="false">
      <c r="A4" s="4" t="s">
        <v>113</v>
      </c>
    </row>
    <row r="5" customFormat="false" ht="15" hidden="false" customHeight="false" outlineLevel="0" collapsed="false">
      <c r="A5" s="4" t="s">
        <v>114</v>
      </c>
    </row>
    <row r="6" customFormat="false" ht="15" hidden="false" customHeight="false" outlineLevel="0" collapsed="false">
      <c r="A6" s="4" t="s">
        <v>115</v>
      </c>
    </row>
    <row r="7" customFormat="false" ht="15" hidden="false" customHeight="false" outlineLevel="0" collapsed="false">
      <c r="A7" s="4" t="s">
        <v>116</v>
      </c>
    </row>
    <row r="8" customFormat="false" ht="15" hidden="false" customHeight="false" outlineLevel="0" collapsed="false">
      <c r="A8" s="4" t="s">
        <v>117</v>
      </c>
    </row>
    <row r="9" customFormat="false" ht="15" hidden="false" customHeight="false" outlineLevel="0" collapsed="false">
      <c r="A9" s="4"/>
    </row>
    <row r="10" customFormat="false" ht="15" hidden="false" customHeight="false" outlineLevel="0" collapsed="false">
      <c r="A10" s="12" t="s">
        <v>118</v>
      </c>
    </row>
    <row r="11" customFormat="false" ht="15" hidden="false" customHeight="false" outlineLevel="0" collapsed="false">
      <c r="A11" s="4" t="s">
        <v>119</v>
      </c>
    </row>
    <row r="12" customFormat="false" ht="15" hidden="false" customHeight="false" outlineLevel="0" collapsed="false">
      <c r="A12" s="4" t="s">
        <v>120</v>
      </c>
    </row>
    <row r="13" customFormat="false" ht="15" hidden="false" customHeight="false" outlineLevel="0" collapsed="false">
      <c r="A13" s="4" t="s">
        <v>121</v>
      </c>
    </row>
    <row r="14" customFormat="false" ht="15" hidden="false" customHeight="false" outlineLevel="0" collapsed="false">
      <c r="A14" s="4" t="s">
        <v>122</v>
      </c>
    </row>
    <row r="15" customFormat="false" ht="15" hidden="false" customHeight="false" outlineLevel="0" collapsed="false">
      <c r="A15" s="4" t="s">
        <v>123</v>
      </c>
    </row>
    <row r="16" customFormat="false" ht="15" hidden="false" customHeight="false" outlineLevel="0" collapsed="false">
      <c r="A16" s="4"/>
    </row>
    <row r="17" customFormat="false" ht="15" hidden="false" customHeight="false" outlineLevel="0" collapsed="false">
      <c r="A17" s="4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7" min="4" style="0" width="22"/>
  </cols>
  <sheetData>
    <row r="1" customFormat="false" ht="17.35" hidden="false" customHeight="false" outlineLevel="0" collapsed="false">
      <c r="A1" s="1" t="s">
        <v>125</v>
      </c>
    </row>
    <row r="2" customFormat="false" ht="15" hidden="false" customHeight="false" outlineLevel="0" collapsed="false">
      <c r="A2" s="2" t="s">
        <v>126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42</v>
      </c>
    </row>
    <row r="4" customFormat="false" ht="15" hidden="false" customHeight="false" outlineLevel="0" collapsed="false">
      <c r="A4" s="4" t="s">
        <v>127</v>
      </c>
      <c r="B4" s="23" t="n">
        <v>0.05</v>
      </c>
      <c r="C4" s="2" t="s">
        <v>128</v>
      </c>
    </row>
    <row r="5" customFormat="false" ht="15" hidden="false" customHeight="false" outlineLevel="0" collapsed="false">
      <c r="A5" s="4" t="s">
        <v>129</v>
      </c>
      <c r="B5" s="23" t="n">
        <v>0.25</v>
      </c>
      <c r="C5" s="2" t="s">
        <v>130</v>
      </c>
    </row>
    <row r="6" customFormat="false" ht="15" hidden="false" customHeight="false" outlineLevel="0" collapsed="false">
      <c r="A6" s="4" t="s">
        <v>131</v>
      </c>
      <c r="B6" s="7" t="n">
        <v>0</v>
      </c>
      <c r="C6" s="2" t="s">
        <v>132</v>
      </c>
    </row>
    <row r="8" customFormat="false" ht="15" hidden="false" customHeight="false" outlineLevel="0" collapsed="false">
      <c r="A8" s="12" t="s">
        <v>133</v>
      </c>
    </row>
    <row r="9" customFormat="false" ht="15" hidden="false" customHeight="false" outlineLevel="0" collapsed="false">
      <c r="A9" s="4" t="s">
        <v>134</v>
      </c>
      <c r="B9" s="24" t="n">
        <f aca="false">Supuestos!B4*Supuestos!B5*Supuestos!B6</f>
        <v>0.1012</v>
      </c>
    </row>
    <row r="10" customFormat="false" ht="15" hidden="false" customHeight="false" outlineLevel="0" collapsed="false">
      <c r="A10" s="4" t="s">
        <v>135</v>
      </c>
      <c r="B10" s="25" t="n">
        <f aca="false">B9*(B4+B5)*(1-B6)</f>
        <v>0.03036</v>
      </c>
    </row>
    <row r="11" customFormat="false" ht="15" hidden="false" customHeight="false" outlineLevel="0" collapsed="false">
      <c r="A11" s="4" t="s">
        <v>136</v>
      </c>
      <c r="B11" s="26" t="n">
        <f aca="false">IF(B9=0,0,1-B10/B9)</f>
        <v>0.7</v>
      </c>
    </row>
    <row r="13" customFormat="false" ht="42" hidden="false" customHeight="true" outlineLevel="0" collapsed="false">
      <c r="A13" s="3" t="s">
        <v>76</v>
      </c>
      <c r="B13" s="3" t="s">
        <v>137</v>
      </c>
      <c r="C13" s="3" t="s">
        <v>138</v>
      </c>
      <c r="D13" s="3" t="s">
        <v>139</v>
      </c>
      <c r="E13" s="3" t="s">
        <v>140</v>
      </c>
      <c r="F13" s="3" t="s">
        <v>141</v>
      </c>
      <c r="G13" s="3" t="s">
        <v>142</v>
      </c>
    </row>
    <row r="14" customFormat="false" ht="15" hidden="false" customHeight="false" outlineLevel="0" collapsed="false">
      <c r="A14" s="13" t="n">
        <v>100</v>
      </c>
      <c r="B14" s="15" t="n">
        <f aca="false">A14*$B$9</f>
        <v>10.12</v>
      </c>
      <c r="C14" s="15" t="n">
        <f aca="false">A14*$B$10</f>
        <v>3.036</v>
      </c>
      <c r="D14" s="17" t="n">
        <f aca="false">B14-C14</f>
        <v>7.084</v>
      </c>
      <c r="E14" s="15" t="n">
        <f aca="false">IF(A14&lt;=Supuestos!$B$19,Supuestos!$C$19,IF(A14&lt;=Supuestos!$B$20,Supuestos!$C$20,IF(A14&lt;=Supuestos!$B$21,Supuestos!$C$21,Supuestos!$C$21+(A14-Supuestos!$B$21)*Supuestos!$C$22)))</f>
        <v>49</v>
      </c>
      <c r="F14" s="18" t="n">
        <f aca="false">IF(E14=0,0,(E14-B14-(E14*(1+Supuestos!$B$7)*(Supuestos!$B$8+Supuestos!$B$9)+Supuestos!$B$10))/E14)</f>
        <v>0.764167346938775</v>
      </c>
      <c r="G14" s="26" t="n">
        <f aca="false">IF(E14=0,0,(E14-C14-(E14*(1+Supuestos!$B$7)*(Supuestos!$B$8+Supuestos!$B$9)+Supuestos!$B$10))/E14)</f>
        <v>0.908738775510204</v>
      </c>
    </row>
    <row r="15" customFormat="false" ht="15" hidden="false" customHeight="false" outlineLevel="0" collapsed="false">
      <c r="A15" s="13" t="n">
        <v>200</v>
      </c>
      <c r="B15" s="15" t="n">
        <f aca="false">A15*$B$9</f>
        <v>20.24</v>
      </c>
      <c r="C15" s="15" t="n">
        <f aca="false">A15*$B$10</f>
        <v>6.072</v>
      </c>
      <c r="D15" s="17" t="n">
        <f aca="false">B15-C15</f>
        <v>14.168</v>
      </c>
      <c r="E15" s="15" t="n">
        <f aca="false">IF(A15&lt;=Supuestos!$B$19,Supuestos!$C$19,IF(A15&lt;=Supuestos!$B$20,Supuestos!$C$20,IF(A15&lt;=Supuestos!$B$21,Supuestos!$C$21,Supuestos!$C$21+(A15-Supuestos!$B$21)*Supuestos!$C$22)))</f>
        <v>49</v>
      </c>
      <c r="F15" s="18" t="n">
        <f aca="false">IF(E15=0,0,(E15-B15-(E15*(1+Supuestos!$B$7)*(Supuestos!$B$8+Supuestos!$B$9)+Supuestos!$B$10))/E15)</f>
        <v>0.557636734693878</v>
      </c>
      <c r="G15" s="26" t="n">
        <f aca="false">IF(E15=0,0,(E15-C15-(E15*(1+Supuestos!$B$7)*(Supuestos!$B$8+Supuestos!$B$9)+Supuestos!$B$10))/E15)</f>
        <v>0.846779591836735</v>
      </c>
    </row>
    <row r="16" customFormat="false" ht="15" hidden="false" customHeight="false" outlineLevel="0" collapsed="false">
      <c r="A16" s="13" t="n">
        <v>500</v>
      </c>
      <c r="B16" s="15" t="n">
        <f aca="false">A16*$B$9</f>
        <v>50.6</v>
      </c>
      <c r="C16" s="15" t="n">
        <f aca="false">A16*$B$10</f>
        <v>15.18</v>
      </c>
      <c r="D16" s="17" t="n">
        <f aca="false">B16-C16</f>
        <v>35.42</v>
      </c>
      <c r="E16" s="15" t="n">
        <f aca="false">IF(A16&lt;=Supuestos!$B$19,Supuestos!$C$19,IF(A16&lt;=Supuestos!$B$20,Supuestos!$C$20,IF(A16&lt;=Supuestos!$B$21,Supuestos!$C$21,Supuestos!$C$21+(A16-Supuestos!$B$21)*Supuestos!$C$22)))</f>
        <v>249</v>
      </c>
      <c r="F16" s="18" t="n">
        <f aca="false">IF(E16=0,0,(E16-B16-(E16*(1+Supuestos!$B$7)*(Supuestos!$B$8+Supuestos!$B$9)+Supuestos!$B$10))/E16)</f>
        <v>0.77158313253012</v>
      </c>
      <c r="G16" s="26" t="n">
        <f aca="false">IF(E16=0,0,(E16-C16-(E16*(1+Supuestos!$B$7)*(Supuestos!$B$8+Supuestos!$B$9)+Supuestos!$B$10))/E16)</f>
        <v>0.913832128514056</v>
      </c>
    </row>
    <row r="17" customFormat="false" ht="15" hidden="false" customHeight="false" outlineLevel="0" collapsed="false">
      <c r="A17" s="13" t="n">
        <v>1000</v>
      </c>
      <c r="B17" s="15" t="n">
        <f aca="false">A17*$B$9</f>
        <v>101.2</v>
      </c>
      <c r="C17" s="15" t="n">
        <f aca="false">A17*$B$10</f>
        <v>30.36</v>
      </c>
      <c r="D17" s="17" t="n">
        <f aca="false">B17-C17</f>
        <v>70.84</v>
      </c>
      <c r="E17" s="15" t="n">
        <f aca="false">IF(A17&lt;=Supuestos!$B$19,Supuestos!$C$19,IF(A17&lt;=Supuestos!$B$20,Supuestos!$C$20,IF(A17&lt;=Supuestos!$B$21,Supuestos!$C$21,Supuestos!$C$21+(A17-Supuestos!$B$21)*Supuestos!$C$22)))</f>
        <v>249</v>
      </c>
      <c r="F17" s="18" t="n">
        <f aca="false">IF(E17=0,0,(E17-B17-(E17*(1+Supuestos!$B$7)*(Supuestos!$B$8+Supuestos!$B$9)+Supuestos!$B$10))/E17)</f>
        <v>0.568370281124498</v>
      </c>
      <c r="G17" s="26" t="n">
        <f aca="false">IF(E17=0,0,(E17-C17-(E17*(1+Supuestos!$B$7)*(Supuestos!$B$8+Supuestos!$B$9)+Supuestos!$B$10))/E17)</f>
        <v>0.85286827309237</v>
      </c>
    </row>
    <row r="18" customFormat="false" ht="15" hidden="false" customHeight="false" outlineLevel="0" collapsed="false">
      <c r="A18" s="13" t="n">
        <v>2000</v>
      </c>
      <c r="B18" s="15" t="n">
        <f aca="false">A18*$B$9</f>
        <v>202.4</v>
      </c>
      <c r="C18" s="15" t="n">
        <f aca="false">A18*$B$10</f>
        <v>60.72</v>
      </c>
      <c r="D18" s="17" t="n">
        <f aca="false">B18-C18</f>
        <v>141.68</v>
      </c>
      <c r="E18" s="15" t="n">
        <f aca="false">IF(A18&lt;=Supuestos!$B$19,Supuestos!$C$19,IF(A18&lt;=Supuestos!$B$20,Supuestos!$C$20,IF(A18&lt;=Supuestos!$B$21,Supuestos!$C$21,Supuestos!$C$21+(A18-Supuestos!$B$21)*Supuestos!$C$22)))</f>
        <v>599</v>
      </c>
      <c r="F18" s="18" t="n">
        <f aca="false">IF(E18=0,0,(E18-B18-(E18*(1+Supuestos!$B$7)*(Supuestos!$B$8+Supuestos!$B$9)+Supuestos!$B$10))/E18)</f>
        <v>0.637486143572621</v>
      </c>
      <c r="G18" s="26" t="n">
        <f aca="false">IF(E18=0,0,(E18-C18-(E18*(1+Supuestos!$B$7)*(Supuestos!$B$8+Supuestos!$B$9)+Supuestos!$B$10))/E18)</f>
        <v>0.874013689482471</v>
      </c>
    </row>
    <row r="19" customFormat="false" ht="15" hidden="false" customHeight="false" outlineLevel="0" collapsed="false">
      <c r="A19" s="13" t="n">
        <v>3000</v>
      </c>
      <c r="B19" s="15" t="n">
        <f aca="false">A19*$B$9</f>
        <v>303.6</v>
      </c>
      <c r="C19" s="15" t="n">
        <f aca="false">A19*$B$10</f>
        <v>91.08</v>
      </c>
      <c r="D19" s="17" t="n">
        <f aca="false">B19-C19</f>
        <v>212.52</v>
      </c>
      <c r="E19" s="15" t="n">
        <f aca="false">IF(A19&lt;=Supuestos!$B$19,Supuestos!$C$19,IF(A19&lt;=Supuestos!$B$20,Supuestos!$C$20,IF(A19&lt;=Supuestos!$B$21,Supuestos!$C$21,Supuestos!$C$21+(A19-Supuestos!$B$21)*Supuestos!$C$22)))</f>
        <v>599</v>
      </c>
      <c r="F19" s="18" t="n">
        <f aca="false">IF(E19=0,0,(E19-B19-(E19*(1+Supuestos!$B$7)*(Supuestos!$B$8+Supuestos!$B$9)+Supuestos!$B$10))/E19)</f>
        <v>0.468537896494157</v>
      </c>
      <c r="G19" s="26" t="n">
        <f aca="false">IF(E19=0,0,(E19-C19-(E19*(1+Supuestos!$B$7)*(Supuestos!$B$8+Supuestos!$B$9)+Supuestos!$B$10))/E19)</f>
        <v>0.823329215358932</v>
      </c>
    </row>
    <row r="20" customFormat="false" ht="15" hidden="false" customHeight="false" outlineLevel="0" collapsed="false">
      <c r="A20" s="13" t="n">
        <v>5000</v>
      </c>
      <c r="B20" s="15" t="n">
        <f aca="false">A20*$B$9</f>
        <v>506</v>
      </c>
      <c r="C20" s="15" t="n">
        <f aca="false">A20*$B$10</f>
        <v>151.8</v>
      </c>
      <c r="D20" s="17" t="n">
        <f aca="false">B20-C20</f>
        <v>354.2</v>
      </c>
      <c r="E20" s="15" t="n">
        <f aca="false">IF(A20&lt;=Supuestos!$B$19,Supuestos!$C$19,IF(A20&lt;=Supuestos!$B$20,Supuestos!$C$20,IF(A20&lt;=Supuestos!$B$21,Supuestos!$C$21,Supuestos!$C$21+(A20-Supuestos!$B$21)*Supuestos!$C$22)))</f>
        <v>999</v>
      </c>
      <c r="F20" s="18" t="n">
        <f aca="false">IF(E20=0,0,(E20-B20-(E20*(1+Supuestos!$B$7)*(Supuestos!$B$8+Supuestos!$B$9)+Supuestos!$B$10))/E20)</f>
        <v>0.469043243243243</v>
      </c>
      <c r="G20" s="26" t="n">
        <f aca="false">IF(E20=0,0,(E20-C20-(E20*(1+Supuestos!$B$7)*(Supuestos!$B$8+Supuestos!$B$9)+Supuestos!$B$10))/E20)</f>
        <v>0.823597797797798</v>
      </c>
    </row>
    <row r="22" customFormat="false" ht="15" hidden="false" customHeight="false" outlineLevel="0" collapsed="false">
      <c r="A22" s="2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2026-10-22T19:07:49Z</dcterms:created>
  <dc:creator>openpyxl</dc:creator>
  <dc:description/>
  <dc:language>en-US</dc:language>
  <cp:lastModifiedBy/>
  <dcterms:modified xsi:type="dcterms:W3CDTF">2026-10-22T19:07:49Z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